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KPI 2024\"/>
    </mc:Choice>
  </mc:AlternateContent>
  <xr:revisionPtr revIDLastSave="0" documentId="13_ncr:1_{D5C482BD-E7E9-4B01-AB92-B0184992452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kap KPI 360 " sheetId="5" r:id="rId1"/>
    <sheet name="KPI 360 Atasan" sheetId="4" r:id="rId2"/>
    <sheet name="KPI 360 Rekan" sheetId="3" r:id="rId3"/>
    <sheet name="KPI 360 Bawahan" sheetId="1" r:id="rId4"/>
  </sheets>
  <definedNames>
    <definedName name="_xlnm.Print_Area" localSheetId="1">'KPI 360 Atasan'!$A$1:$G$31</definedName>
    <definedName name="_xlnm.Print_Area" localSheetId="3">'KPI 360 Bawahan'!$A$1:$G$26</definedName>
    <definedName name="_xlnm.Print_Area" localSheetId="2">'KPI 360 Rekan'!$A$1:$G$30</definedName>
    <definedName name="_xlnm.Print_Area" localSheetId="0">'Rekap KPI 360 '!$B$1:$G$54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5" l="1"/>
  <c r="G28" i="5"/>
  <c r="G27" i="5"/>
  <c r="G30" i="5" s="1"/>
  <c r="G25" i="5"/>
  <c r="G24" i="5"/>
  <c r="G23" i="5"/>
  <c r="G22" i="5"/>
  <c r="G21" i="5"/>
  <c r="G26" i="5" s="1"/>
  <c r="G20" i="5"/>
  <c r="G19" i="5"/>
  <c r="G17" i="5"/>
  <c r="G16" i="5"/>
  <c r="G15" i="5"/>
  <c r="G14" i="5"/>
  <c r="G13" i="5"/>
  <c r="G12" i="5"/>
  <c r="G11" i="5"/>
  <c r="G10" i="5"/>
  <c r="G9" i="5"/>
  <c r="G8" i="5"/>
  <c r="G17" i="4"/>
  <c r="G16" i="4"/>
  <c r="G15" i="4"/>
  <c r="G14" i="4"/>
  <c r="G13" i="4"/>
  <c r="G12" i="4"/>
  <c r="G11" i="4"/>
  <c r="G10" i="4"/>
  <c r="G9" i="4"/>
  <c r="G8" i="4"/>
  <c r="G14" i="3"/>
  <c r="G13" i="3"/>
  <c r="G12" i="3"/>
  <c r="G11" i="3"/>
  <c r="G10" i="3"/>
  <c r="G9" i="3"/>
  <c r="G8" i="3"/>
  <c r="G18" i="5" l="1"/>
  <c r="G31" i="5" s="1"/>
  <c r="G32" i="5" s="1"/>
  <c r="E32" i="5" s="1"/>
  <c r="G15" i="3"/>
  <c r="E16" i="3" s="1"/>
  <c r="G18" i="4"/>
  <c r="E19" i="4" s="1"/>
  <c r="G10" i="1"/>
  <c r="G9" i="1"/>
  <c r="G8" i="1"/>
  <c r="G11" i="1" s="1"/>
  <c r="E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sdi</author>
  </authors>
  <commentList>
    <comment ref="E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sdi:</t>
        </r>
        <r>
          <rPr>
            <sz val="9"/>
            <color indexed="81"/>
            <rFont val="Tahoma"/>
            <family val="2"/>
          </rPr>
          <t xml:space="preserve">
Penilai hanya mengisi kolom nilai saja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sdi</author>
  </authors>
  <commentList>
    <comment ref="E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sdi:</t>
        </r>
        <r>
          <rPr>
            <sz val="9"/>
            <color indexed="81"/>
            <rFont val="Tahoma"/>
            <family val="2"/>
          </rPr>
          <t xml:space="preserve">
Penilai hanya mengisi kolom nilai saja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sdi</author>
  </authors>
  <commentList>
    <comment ref="E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sdi:</t>
        </r>
        <r>
          <rPr>
            <sz val="9"/>
            <color indexed="81"/>
            <rFont val="Tahoma"/>
            <family val="2"/>
          </rPr>
          <t xml:space="preserve">
Penilai hanya mengisi kolom nilai saja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sdi</author>
  </authors>
  <commentList>
    <comment ref="E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sdi:</t>
        </r>
        <r>
          <rPr>
            <sz val="9"/>
            <color indexed="81"/>
            <rFont val="Tahoma"/>
            <family val="2"/>
          </rPr>
          <t xml:space="preserve">
Penilai hanya mengisi kolom nilai saja</t>
        </r>
      </text>
    </comment>
  </commentList>
</comments>
</file>

<file path=xl/sharedStrings.xml><?xml version="1.0" encoding="utf-8"?>
<sst xmlns="http://schemas.openxmlformats.org/spreadsheetml/2006/main" count="219" uniqueCount="54">
  <si>
    <t>Lampiran SK Direksi Nomor 016/SK-Dir/BSB.02/XII/2024 (Contoh Form KPI 360 Derajat)</t>
  </si>
  <si>
    <t>........</t>
  </si>
  <si>
    <t>Jabatan / Bagian</t>
  </si>
  <si>
    <t>NIK</t>
  </si>
  <si>
    <t>Periode Penilaian / Tanggal dibuat</t>
  </si>
  <si>
    <t>........ / .......</t>
  </si>
  <si>
    <t>Penilai</t>
  </si>
  <si>
    <t>Kriteria</t>
  </si>
  <si>
    <t>Subkriteria</t>
  </si>
  <si>
    <t>Nilai</t>
  </si>
  <si>
    <t>Bobot (%)</t>
  </si>
  <si>
    <t>Atasan (P1)</t>
  </si>
  <si>
    <t>Kedisiplinan</t>
  </si>
  <si>
    <t>Kehadiran Pegawai</t>
  </si>
  <si>
    <t>Ketepatan Waktu</t>
  </si>
  <si>
    <t>Sanksi</t>
  </si>
  <si>
    <t>Keterampilan Teknis</t>
  </si>
  <si>
    <t>Kemantapan dan kematangan bertugas</t>
  </si>
  <si>
    <t>Kecepatan penyelesaian tugas</t>
  </si>
  <si>
    <t>Kerajinan</t>
  </si>
  <si>
    <t>Kualitas hasil kerja</t>
  </si>
  <si>
    <t>Kepribadian</t>
  </si>
  <si>
    <t>Kejujuran</t>
  </si>
  <si>
    <t>Kedisiplinan dan loyalitas</t>
  </si>
  <si>
    <t>Penampilan</t>
  </si>
  <si>
    <t>Total Nilai</t>
  </si>
  <si>
    <t>Rekan (P2)</t>
  </si>
  <si>
    <t>Bawahan (P3)</t>
  </si>
  <si>
    <t>Total Nilai P1 + P2 + P3</t>
  </si>
  <si>
    <t>Final Performance Appraisal Rating</t>
  </si>
  <si>
    <t>......................</t>
  </si>
  <si>
    <t>Hasil Evaluasi Kinerja 360 Derajat</t>
  </si>
  <si>
    <t>Nilai Evaluasi</t>
  </si>
  <si>
    <t>Hasil Evaluasi (Kinerja)</t>
  </si>
  <si>
    <t>Sangat Baik</t>
  </si>
  <si>
    <t>Baik</t>
  </si>
  <si>
    <t>Cukup Baik</t>
  </si>
  <si>
    <t>Buruk</t>
  </si>
  <si>
    <t>0 - 3,5</t>
  </si>
  <si>
    <t>Sangat Buruk</t>
  </si>
  <si>
    <t>No.</t>
  </si>
  <si>
    <t>&gt;9.5 - 10</t>
  </si>
  <si>
    <t>&gt;7.5 - 9,5</t>
  </si>
  <si>
    <t>&gt;5,5 - 7,5</t>
  </si>
  <si>
    <t>&gt;3,5 - 5,5</t>
  </si>
  <si>
    <t>Jabatan</t>
  </si>
  <si>
    <t>Kantor</t>
  </si>
  <si>
    <t>Nama Karyawan Yang Dinilai</t>
  </si>
  <si>
    <t>Nama Penilai</t>
  </si>
  <si>
    <t>Diterima Divisi SDI &amp; Personalia</t>
  </si>
  <si>
    <t>........................................</t>
  </si>
  <si>
    <t>Kadiv. SDI &amp; Personalia</t>
  </si>
  <si>
    <t>Td Tangan</t>
  </si>
  <si>
    <t>LAPORAN PENILAIAN KPI METODE 360 DERAJAT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</si>
</sst>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\: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b/>
      <sz val="12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u/>
      <sz val="11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1BFA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0" fontId="7" fillId="10" borderId="0" xfId="1" applyFont="1" applyFill="1" applyBorder="1" applyAlignment="1">
      <alignment vertical="center" wrapText="1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2" fillId="10" borderId="1" xfId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quotePrefix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10" borderId="0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10" borderId="8" xfId="1" applyFont="1" applyFill="1" applyBorder="1" applyAlignment="1">
      <alignment vertical="center" wrapText="1"/>
    </xf>
    <xf numFmtId="0" fontId="1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10" borderId="5" xfId="1" applyFont="1" applyFill="1" applyBorder="1" applyAlignment="1">
      <alignment horizontal="center" vertical="center" wrapText="1"/>
    </xf>
    <xf numFmtId="0" fontId="12" fillId="10" borderId="7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7" fillId="8" borderId="1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10" borderId="5" xfId="1" applyFont="1" applyFill="1" applyBorder="1" applyAlignment="1">
      <alignment horizontal="center" vertical="center" wrapText="1"/>
    </xf>
    <xf numFmtId="0" fontId="12" fillId="10" borderId="7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7" fillId="8" borderId="6" xfId="1" applyFont="1" applyFill="1" applyBorder="1" applyAlignment="1">
      <alignment horizontal="center" vertical="center" wrapText="1"/>
    </xf>
    <xf numFmtId="0" fontId="7" fillId="8" borderId="7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5" fillId="3" borderId="0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7" fillId="8" borderId="13" xfId="1" applyFont="1" applyFill="1" applyBorder="1" applyAlignment="1">
      <alignment horizontal="center" vertical="center" wrapText="1"/>
    </xf>
    <xf numFmtId="0" fontId="7" fillId="8" borderId="9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164" fontId="5" fillId="3" borderId="8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4"/>
  <sheetViews>
    <sheetView tabSelected="1" zoomScaleNormal="100" workbookViewId="0">
      <selection activeCell="C34" sqref="C34"/>
    </sheetView>
  </sheetViews>
  <sheetFormatPr defaultColWidth="9.1328125" defaultRowHeight="13.5" x14ac:dyDescent="0.45"/>
  <cols>
    <col min="1" max="1" width="4.86328125" style="19" customWidth="1"/>
    <col min="2" max="2" width="19.73046875" style="19" customWidth="1"/>
    <col min="3" max="3" width="25.86328125" style="19" customWidth="1"/>
    <col min="4" max="4" width="39.1328125" style="19" bestFit="1" customWidth="1"/>
    <col min="5" max="5" width="9.265625" style="14" customWidth="1"/>
    <col min="6" max="6" width="12.3984375" style="19" customWidth="1"/>
    <col min="7" max="7" width="13.265625" style="19" customWidth="1"/>
    <col min="8" max="16384" width="9.1328125" style="19"/>
  </cols>
  <sheetData>
    <row r="1" spans="2:11" ht="30.75" customHeight="1" x14ac:dyDescent="0.45">
      <c r="B1" s="43" t="s">
        <v>0</v>
      </c>
      <c r="C1" s="43"/>
      <c r="D1" s="43"/>
      <c r="E1" s="43"/>
      <c r="F1" s="43"/>
      <c r="G1" s="43"/>
      <c r="H1" s="1"/>
      <c r="I1" s="1"/>
      <c r="J1" s="1"/>
      <c r="K1" s="1"/>
    </row>
    <row r="2" spans="2:11" ht="17.25" x14ac:dyDescent="0.45">
      <c r="B2" s="44" t="s">
        <v>53</v>
      </c>
      <c r="C2" s="44"/>
      <c r="D2" s="44"/>
      <c r="E2" s="44"/>
      <c r="F2" s="44"/>
      <c r="G2" s="44"/>
    </row>
    <row r="3" spans="2:11" x14ac:dyDescent="0.45">
      <c r="B3" s="45" t="s">
        <v>47</v>
      </c>
      <c r="C3" s="45"/>
      <c r="D3" s="46" t="s">
        <v>1</v>
      </c>
      <c r="E3" s="46"/>
      <c r="F3" s="46"/>
      <c r="G3" s="46"/>
    </row>
    <row r="4" spans="2:11" x14ac:dyDescent="0.45">
      <c r="B4" s="45" t="s">
        <v>2</v>
      </c>
      <c r="C4" s="45"/>
      <c r="D4" s="46" t="s">
        <v>1</v>
      </c>
      <c r="E4" s="46"/>
      <c r="F4" s="46"/>
      <c r="G4" s="46"/>
    </row>
    <row r="5" spans="2:11" x14ac:dyDescent="0.45">
      <c r="B5" s="45" t="s">
        <v>3</v>
      </c>
      <c r="C5" s="45"/>
      <c r="D5" s="46" t="s">
        <v>1</v>
      </c>
      <c r="E5" s="46"/>
      <c r="F5" s="46"/>
      <c r="G5" s="46"/>
    </row>
    <row r="6" spans="2:11" x14ac:dyDescent="0.45">
      <c r="B6" s="45" t="s">
        <v>4</v>
      </c>
      <c r="C6" s="45"/>
      <c r="D6" s="46" t="s">
        <v>5</v>
      </c>
      <c r="E6" s="46"/>
      <c r="F6" s="46"/>
      <c r="G6" s="46"/>
    </row>
    <row r="7" spans="2:11" x14ac:dyDescent="0.45"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  <c r="G7" s="4" t="s">
        <v>9</v>
      </c>
    </row>
    <row r="8" spans="2:11" ht="18" customHeight="1" x14ac:dyDescent="0.45">
      <c r="B8" s="49" t="s">
        <v>11</v>
      </c>
      <c r="C8" s="48" t="s">
        <v>12</v>
      </c>
      <c r="D8" s="16" t="s">
        <v>13</v>
      </c>
      <c r="E8" s="5">
        <v>10</v>
      </c>
      <c r="F8" s="5">
        <v>10</v>
      </c>
      <c r="G8" s="5">
        <f>E8*F8/100</f>
        <v>1</v>
      </c>
    </row>
    <row r="9" spans="2:11" ht="18" customHeight="1" x14ac:dyDescent="0.45">
      <c r="B9" s="50"/>
      <c r="C9" s="48"/>
      <c r="D9" s="16" t="s">
        <v>14</v>
      </c>
      <c r="E9" s="5">
        <v>8</v>
      </c>
      <c r="F9" s="5">
        <v>10</v>
      </c>
      <c r="G9" s="5">
        <f>E9*F9/100</f>
        <v>0.8</v>
      </c>
    </row>
    <row r="10" spans="2:11" ht="18" customHeight="1" x14ac:dyDescent="0.45">
      <c r="B10" s="50"/>
      <c r="C10" s="48"/>
      <c r="D10" s="16" t="s">
        <v>15</v>
      </c>
      <c r="E10" s="5">
        <v>10</v>
      </c>
      <c r="F10" s="5">
        <v>10</v>
      </c>
      <c r="G10" s="5">
        <f t="shared" ref="G10:G29" si="0">E10*F10/100</f>
        <v>1</v>
      </c>
    </row>
    <row r="11" spans="2:11" ht="18" customHeight="1" x14ac:dyDescent="0.45">
      <c r="B11" s="50"/>
      <c r="C11" s="48" t="s">
        <v>16</v>
      </c>
      <c r="D11" s="6" t="s">
        <v>17</v>
      </c>
      <c r="E11" s="17">
        <v>8</v>
      </c>
      <c r="F11" s="5">
        <v>10</v>
      </c>
      <c r="G11" s="5">
        <f t="shared" si="0"/>
        <v>0.8</v>
      </c>
    </row>
    <row r="12" spans="2:11" ht="18" customHeight="1" x14ac:dyDescent="0.45">
      <c r="B12" s="50"/>
      <c r="C12" s="48"/>
      <c r="D12" s="6" t="s">
        <v>18</v>
      </c>
      <c r="E12" s="17">
        <v>9</v>
      </c>
      <c r="F12" s="5">
        <v>10</v>
      </c>
      <c r="G12" s="5">
        <f t="shared" si="0"/>
        <v>0.9</v>
      </c>
    </row>
    <row r="13" spans="2:11" ht="18" customHeight="1" x14ac:dyDescent="0.45">
      <c r="B13" s="50"/>
      <c r="C13" s="48"/>
      <c r="D13" s="16" t="s">
        <v>19</v>
      </c>
      <c r="E13" s="5">
        <v>8.5</v>
      </c>
      <c r="F13" s="5">
        <v>10</v>
      </c>
      <c r="G13" s="5">
        <f t="shared" si="0"/>
        <v>0.85</v>
      </c>
    </row>
    <row r="14" spans="2:11" ht="18" customHeight="1" x14ac:dyDescent="0.45">
      <c r="B14" s="50"/>
      <c r="C14" s="48"/>
      <c r="D14" s="16" t="s">
        <v>20</v>
      </c>
      <c r="E14" s="5">
        <v>8</v>
      </c>
      <c r="F14" s="5">
        <v>10</v>
      </c>
      <c r="G14" s="5">
        <f t="shared" si="0"/>
        <v>0.8</v>
      </c>
    </row>
    <row r="15" spans="2:11" ht="18" customHeight="1" x14ac:dyDescent="0.45">
      <c r="B15" s="50"/>
      <c r="C15" s="48" t="s">
        <v>21</v>
      </c>
      <c r="D15" s="16" t="s">
        <v>22</v>
      </c>
      <c r="E15" s="5">
        <v>9</v>
      </c>
      <c r="F15" s="5">
        <v>15</v>
      </c>
      <c r="G15" s="5">
        <f t="shared" si="0"/>
        <v>1.35</v>
      </c>
    </row>
    <row r="16" spans="2:11" ht="18" customHeight="1" x14ac:dyDescent="0.45">
      <c r="B16" s="50"/>
      <c r="C16" s="48"/>
      <c r="D16" s="16" t="s">
        <v>23</v>
      </c>
      <c r="E16" s="5">
        <v>8.5</v>
      </c>
      <c r="F16" s="5">
        <v>10</v>
      </c>
      <c r="G16" s="5">
        <f t="shared" si="0"/>
        <v>0.85</v>
      </c>
    </row>
    <row r="17" spans="2:7" ht="18" customHeight="1" x14ac:dyDescent="0.45">
      <c r="B17" s="51"/>
      <c r="C17" s="48"/>
      <c r="D17" s="16" t="s">
        <v>24</v>
      </c>
      <c r="E17" s="5">
        <v>7.5</v>
      </c>
      <c r="F17" s="5">
        <v>5</v>
      </c>
      <c r="G17" s="5">
        <f t="shared" si="0"/>
        <v>0.375</v>
      </c>
    </row>
    <row r="18" spans="2:7" ht="18" customHeight="1" x14ac:dyDescent="0.45">
      <c r="B18" s="52" t="s">
        <v>25</v>
      </c>
      <c r="C18" s="52"/>
      <c r="D18" s="52"/>
      <c r="E18" s="52"/>
      <c r="F18" s="52"/>
      <c r="G18" s="7">
        <f>SUM(G8:G17)</f>
        <v>8.7249999999999996</v>
      </c>
    </row>
    <row r="19" spans="2:7" ht="18" customHeight="1" x14ac:dyDescent="0.45">
      <c r="B19" s="49" t="s">
        <v>26</v>
      </c>
      <c r="C19" s="48" t="s">
        <v>16</v>
      </c>
      <c r="D19" s="6" t="s">
        <v>17</v>
      </c>
      <c r="E19" s="17">
        <v>7.5</v>
      </c>
      <c r="F19" s="5">
        <v>10</v>
      </c>
      <c r="G19" s="5">
        <f t="shared" si="0"/>
        <v>0.75</v>
      </c>
    </row>
    <row r="20" spans="2:7" ht="18" customHeight="1" x14ac:dyDescent="0.45">
      <c r="B20" s="50"/>
      <c r="C20" s="48"/>
      <c r="D20" s="6" t="s">
        <v>18</v>
      </c>
      <c r="E20" s="17">
        <v>7.8</v>
      </c>
      <c r="F20" s="5">
        <v>10</v>
      </c>
      <c r="G20" s="5">
        <f t="shared" si="0"/>
        <v>0.78</v>
      </c>
    </row>
    <row r="21" spans="2:7" ht="18" customHeight="1" x14ac:dyDescent="0.45">
      <c r="B21" s="50"/>
      <c r="C21" s="48"/>
      <c r="D21" s="16" t="s">
        <v>19</v>
      </c>
      <c r="E21" s="5">
        <v>8</v>
      </c>
      <c r="F21" s="5">
        <v>10</v>
      </c>
      <c r="G21" s="5">
        <f t="shared" si="0"/>
        <v>0.8</v>
      </c>
    </row>
    <row r="22" spans="2:7" ht="18" customHeight="1" x14ac:dyDescent="0.45">
      <c r="B22" s="50"/>
      <c r="C22" s="48"/>
      <c r="D22" s="16" t="s">
        <v>20</v>
      </c>
      <c r="E22" s="5">
        <v>7</v>
      </c>
      <c r="F22" s="5">
        <v>20</v>
      </c>
      <c r="G22" s="5">
        <f t="shared" si="0"/>
        <v>1.4</v>
      </c>
    </row>
    <row r="23" spans="2:7" ht="18" customHeight="1" x14ac:dyDescent="0.45">
      <c r="B23" s="50"/>
      <c r="C23" s="48" t="s">
        <v>21</v>
      </c>
      <c r="D23" s="16" t="s">
        <v>22</v>
      </c>
      <c r="E23" s="5">
        <v>8</v>
      </c>
      <c r="F23" s="5">
        <v>20</v>
      </c>
      <c r="G23" s="5">
        <f t="shared" si="0"/>
        <v>1.6</v>
      </c>
    </row>
    <row r="24" spans="2:7" ht="18" customHeight="1" x14ac:dyDescent="0.45">
      <c r="B24" s="50"/>
      <c r="C24" s="48"/>
      <c r="D24" s="16" t="s">
        <v>23</v>
      </c>
      <c r="E24" s="5">
        <v>8</v>
      </c>
      <c r="F24" s="5">
        <v>15</v>
      </c>
      <c r="G24" s="5">
        <f t="shared" si="0"/>
        <v>1.2</v>
      </c>
    </row>
    <row r="25" spans="2:7" ht="18" customHeight="1" x14ac:dyDescent="0.45">
      <c r="B25" s="51"/>
      <c r="C25" s="48"/>
      <c r="D25" s="16" t="s">
        <v>24</v>
      </c>
      <c r="E25" s="5">
        <v>8</v>
      </c>
      <c r="F25" s="5">
        <v>15</v>
      </c>
      <c r="G25" s="5">
        <f t="shared" si="0"/>
        <v>1.2</v>
      </c>
    </row>
    <row r="26" spans="2:7" ht="18" customHeight="1" x14ac:dyDescent="0.45">
      <c r="B26" s="52" t="s">
        <v>25</v>
      </c>
      <c r="C26" s="52"/>
      <c r="D26" s="52"/>
      <c r="E26" s="52"/>
      <c r="F26" s="52"/>
      <c r="G26" s="7">
        <f>SUM(G19:G25)</f>
        <v>7.73</v>
      </c>
    </row>
    <row r="27" spans="2:7" ht="18" customHeight="1" x14ac:dyDescent="0.45">
      <c r="B27" s="47" t="s">
        <v>27</v>
      </c>
      <c r="C27" s="48" t="s">
        <v>21</v>
      </c>
      <c r="D27" s="16" t="s">
        <v>22</v>
      </c>
      <c r="E27" s="5">
        <v>8</v>
      </c>
      <c r="F27" s="5">
        <v>40</v>
      </c>
      <c r="G27" s="5">
        <f t="shared" si="0"/>
        <v>3.2</v>
      </c>
    </row>
    <row r="28" spans="2:7" ht="18" customHeight="1" x14ac:dyDescent="0.45">
      <c r="B28" s="47"/>
      <c r="C28" s="48"/>
      <c r="D28" s="16" t="s">
        <v>23</v>
      </c>
      <c r="E28" s="5">
        <v>8</v>
      </c>
      <c r="F28" s="5">
        <v>30</v>
      </c>
      <c r="G28" s="5">
        <f t="shared" si="0"/>
        <v>2.4</v>
      </c>
    </row>
    <row r="29" spans="2:7" ht="18" customHeight="1" x14ac:dyDescent="0.45">
      <c r="B29" s="47"/>
      <c r="C29" s="48"/>
      <c r="D29" s="16" t="s">
        <v>24</v>
      </c>
      <c r="E29" s="5">
        <v>8</v>
      </c>
      <c r="F29" s="5">
        <v>30</v>
      </c>
      <c r="G29" s="5">
        <f t="shared" si="0"/>
        <v>2.4</v>
      </c>
    </row>
    <row r="30" spans="2:7" ht="18" customHeight="1" x14ac:dyDescent="0.45">
      <c r="B30" s="52" t="s">
        <v>25</v>
      </c>
      <c r="C30" s="52"/>
      <c r="D30" s="52"/>
      <c r="E30" s="52"/>
      <c r="F30" s="52"/>
      <c r="G30" s="7">
        <f>SUM(G27:G29)</f>
        <v>8</v>
      </c>
    </row>
    <row r="31" spans="2:7" ht="18" customHeight="1" x14ac:dyDescent="0.45">
      <c r="B31" s="53" t="s">
        <v>28</v>
      </c>
      <c r="C31" s="53"/>
      <c r="D31" s="53"/>
      <c r="E31" s="53"/>
      <c r="F31" s="53"/>
      <c r="G31" s="8">
        <f>G18+G26+G30</f>
        <v>24.454999999999998</v>
      </c>
    </row>
    <row r="32" spans="2:7" ht="27" customHeight="1" x14ac:dyDescent="0.45">
      <c r="B32" s="54" t="s">
        <v>29</v>
      </c>
      <c r="C32" s="55"/>
      <c r="D32" s="56"/>
      <c r="E32" s="57" t="str">
        <f>IF(G32&gt;9.5,"SANGAT BAIK",IF(G32&gt;7.5,"BAIK",IF(G32&gt;5.5,"CUKUP BAIK",IF(G32&gt;3.5,"BURUK","SANGAT BURUK"))))</f>
        <v>BAIK</v>
      </c>
      <c r="F32" s="57"/>
      <c r="G32" s="9">
        <f>G31/3</f>
        <v>8.1516666666666655</v>
      </c>
    </row>
    <row r="33" spans="2:7" ht="15" x14ac:dyDescent="0.45">
      <c r="D33" s="14"/>
      <c r="E33" s="27"/>
      <c r="F33" s="27"/>
    </row>
    <row r="34" spans="2:7" ht="21.75" customHeight="1" x14ac:dyDescent="0.45">
      <c r="B34" s="28" t="s">
        <v>40</v>
      </c>
      <c r="C34" s="39" t="s">
        <v>48</v>
      </c>
      <c r="D34" s="40"/>
      <c r="E34" s="28" t="s">
        <v>45</v>
      </c>
      <c r="F34" s="35" t="s">
        <v>46</v>
      </c>
      <c r="G34" s="36"/>
    </row>
    <row r="35" spans="2:7" ht="21.75" customHeight="1" x14ac:dyDescent="0.45">
      <c r="B35" s="22">
        <v>1</v>
      </c>
      <c r="C35" s="23" t="s">
        <v>11</v>
      </c>
      <c r="D35" s="20" t="s">
        <v>30</v>
      </c>
      <c r="E35" s="20"/>
      <c r="F35" s="37"/>
      <c r="G35" s="38"/>
    </row>
    <row r="36" spans="2:7" ht="21.75" customHeight="1" x14ac:dyDescent="0.45">
      <c r="B36" s="24">
        <v>2</v>
      </c>
      <c r="C36" s="23" t="s">
        <v>26</v>
      </c>
      <c r="D36" s="20" t="s">
        <v>30</v>
      </c>
      <c r="E36" s="20"/>
      <c r="F36" s="37"/>
      <c r="G36" s="38"/>
    </row>
    <row r="37" spans="2:7" ht="21.75" customHeight="1" x14ac:dyDescent="0.45">
      <c r="B37" s="24">
        <v>3</v>
      </c>
      <c r="C37" s="23" t="s">
        <v>27</v>
      </c>
      <c r="D37" s="20" t="s">
        <v>30</v>
      </c>
      <c r="E37" s="20"/>
      <c r="F37" s="37"/>
      <c r="G37" s="38"/>
    </row>
    <row r="38" spans="2:7" x14ac:dyDescent="0.45">
      <c r="E38" s="25"/>
      <c r="F38" s="26"/>
    </row>
    <row r="39" spans="2:7" x14ac:dyDescent="0.45">
      <c r="B39" s="19" t="s">
        <v>49</v>
      </c>
      <c r="E39" s="25"/>
      <c r="F39" s="26"/>
    </row>
    <row r="40" spans="2:7" x14ac:dyDescent="0.45">
      <c r="E40" s="25"/>
      <c r="F40" s="26"/>
    </row>
    <row r="41" spans="2:7" x14ac:dyDescent="0.45">
      <c r="E41" s="25"/>
      <c r="F41" s="26"/>
    </row>
    <row r="42" spans="2:7" x14ac:dyDescent="0.45">
      <c r="E42" s="25"/>
      <c r="F42" s="26"/>
    </row>
    <row r="43" spans="2:7" x14ac:dyDescent="0.45">
      <c r="B43" s="30" t="s">
        <v>50</v>
      </c>
      <c r="C43" s="30"/>
      <c r="D43" s="30"/>
      <c r="E43" s="25"/>
      <c r="F43" s="26"/>
    </row>
    <row r="44" spans="2:7" x14ac:dyDescent="0.45">
      <c r="B44" s="19" t="s">
        <v>51</v>
      </c>
      <c r="E44" s="25"/>
      <c r="F44" s="26"/>
    </row>
    <row r="45" spans="2:7" x14ac:dyDescent="0.45">
      <c r="B45" s="29"/>
      <c r="C45" s="29"/>
    </row>
    <row r="46" spans="2:7" x14ac:dyDescent="0.45">
      <c r="B46" s="29"/>
      <c r="C46" s="29"/>
    </row>
    <row r="47" spans="2:7" x14ac:dyDescent="0.45">
      <c r="B47" s="60" t="s">
        <v>31</v>
      </c>
      <c r="C47" s="60"/>
    </row>
    <row r="48" spans="2:7" x14ac:dyDescent="0.45">
      <c r="B48" s="14"/>
      <c r="C48" s="14"/>
    </row>
    <row r="49" spans="2:3" x14ac:dyDescent="0.45">
      <c r="B49" s="15" t="s">
        <v>32</v>
      </c>
      <c r="C49" s="15" t="s">
        <v>33</v>
      </c>
    </row>
    <row r="50" spans="2:3" x14ac:dyDescent="0.45">
      <c r="B50" s="5" t="s">
        <v>41</v>
      </c>
      <c r="C50" s="5" t="s">
        <v>34</v>
      </c>
    </row>
    <row r="51" spans="2:3" x14ac:dyDescent="0.45">
      <c r="B51" s="5" t="s">
        <v>42</v>
      </c>
      <c r="C51" s="5" t="s">
        <v>35</v>
      </c>
    </row>
    <row r="52" spans="2:3" x14ac:dyDescent="0.45">
      <c r="B52" s="5" t="s">
        <v>43</v>
      </c>
      <c r="C52" s="5" t="s">
        <v>36</v>
      </c>
    </row>
    <row r="53" spans="2:3" x14ac:dyDescent="0.45">
      <c r="B53" s="5" t="s">
        <v>44</v>
      </c>
      <c r="C53" s="5" t="s">
        <v>37</v>
      </c>
    </row>
    <row r="54" spans="2:3" x14ac:dyDescent="0.45">
      <c r="B54" s="5" t="s">
        <v>38</v>
      </c>
      <c r="C54" s="5" t="s">
        <v>39</v>
      </c>
    </row>
  </sheetData>
  <mergeCells count="26">
    <mergeCell ref="B47:C47"/>
    <mergeCell ref="B30:F30"/>
    <mergeCell ref="B31:F31"/>
    <mergeCell ref="B32:D32"/>
    <mergeCell ref="E32:F32"/>
    <mergeCell ref="B27:B29"/>
    <mergeCell ref="C27:C29"/>
    <mergeCell ref="B5:C5"/>
    <mergeCell ref="D5:G5"/>
    <mergeCell ref="B6:C6"/>
    <mergeCell ref="D6:G6"/>
    <mergeCell ref="B8:B17"/>
    <mergeCell ref="C8:C10"/>
    <mergeCell ref="C11:C14"/>
    <mergeCell ref="C15:C17"/>
    <mergeCell ref="B18:F18"/>
    <mergeCell ref="B19:B25"/>
    <mergeCell ref="C19:C22"/>
    <mergeCell ref="C23:C25"/>
    <mergeCell ref="B26:F26"/>
    <mergeCell ref="B1:G1"/>
    <mergeCell ref="B2:G2"/>
    <mergeCell ref="B3:C3"/>
    <mergeCell ref="D3:G3"/>
    <mergeCell ref="B4:C4"/>
    <mergeCell ref="D4:G4"/>
  </mergeCells>
  <pageMargins left="0.7" right="0.7" top="0.75" bottom="0.75" header="0.3" footer="0.3"/>
  <pageSetup paperSize="9" scale="7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1"/>
  <sheetViews>
    <sheetView zoomScaleNormal="100" workbookViewId="0">
      <selection sqref="A1:G1"/>
    </sheetView>
  </sheetViews>
  <sheetFormatPr defaultColWidth="9.1328125" defaultRowHeight="13.5" x14ac:dyDescent="0.35"/>
  <cols>
    <col min="1" max="1" width="4.86328125" style="2" customWidth="1"/>
    <col min="2" max="2" width="19.73046875" style="2" customWidth="1"/>
    <col min="3" max="3" width="25.86328125" style="2" customWidth="1"/>
    <col min="4" max="4" width="39.1328125" style="2" bestFit="1" customWidth="1"/>
    <col min="5" max="5" width="9.265625" style="12" customWidth="1"/>
    <col min="6" max="6" width="12.3984375" style="2" customWidth="1"/>
    <col min="7" max="7" width="13.265625" style="2" customWidth="1"/>
    <col min="8" max="16384" width="9.1328125" style="2"/>
  </cols>
  <sheetData>
    <row r="1" spans="1:11" ht="30.75" customHeight="1" x14ac:dyDescent="0.35">
      <c r="A1" s="43" t="s">
        <v>0</v>
      </c>
      <c r="B1" s="43"/>
      <c r="C1" s="43"/>
      <c r="D1" s="43"/>
      <c r="E1" s="43"/>
      <c r="F1" s="43"/>
      <c r="G1" s="43"/>
      <c r="H1" s="1"/>
      <c r="I1" s="1"/>
      <c r="J1" s="1"/>
      <c r="K1" s="1"/>
    </row>
    <row r="2" spans="1:11" ht="17.25" x14ac:dyDescent="0.35">
      <c r="A2" s="76" t="s">
        <v>53</v>
      </c>
      <c r="B2" s="77"/>
      <c r="C2" s="77"/>
      <c r="D2" s="77"/>
      <c r="E2" s="77"/>
      <c r="F2" s="77"/>
      <c r="G2" s="78"/>
    </row>
    <row r="3" spans="1:11" ht="14.25" customHeight="1" x14ac:dyDescent="0.35">
      <c r="A3" s="79" t="s">
        <v>47</v>
      </c>
      <c r="B3" s="80"/>
      <c r="C3" s="80"/>
      <c r="D3" s="81" t="s">
        <v>1</v>
      </c>
      <c r="E3" s="81"/>
      <c r="F3" s="81"/>
      <c r="G3" s="82"/>
    </row>
    <row r="4" spans="1:11" ht="14.25" customHeight="1" x14ac:dyDescent="0.35">
      <c r="A4" s="83" t="s">
        <v>2</v>
      </c>
      <c r="B4" s="69"/>
      <c r="C4" s="69"/>
      <c r="D4" s="81" t="s">
        <v>1</v>
      </c>
      <c r="E4" s="81"/>
      <c r="F4" s="81"/>
      <c r="G4" s="82"/>
    </row>
    <row r="5" spans="1:11" ht="14.25" customHeight="1" x14ac:dyDescent="0.35">
      <c r="A5" s="83" t="s">
        <v>3</v>
      </c>
      <c r="B5" s="69"/>
      <c r="C5" s="69"/>
      <c r="D5" s="81" t="s">
        <v>1</v>
      </c>
      <c r="E5" s="81"/>
      <c r="F5" s="81"/>
      <c r="G5" s="82"/>
    </row>
    <row r="6" spans="1:11" ht="14.25" customHeight="1" x14ac:dyDescent="0.35">
      <c r="A6" s="83" t="s">
        <v>4</v>
      </c>
      <c r="B6" s="69"/>
      <c r="C6" s="69"/>
      <c r="D6" s="81" t="s">
        <v>5</v>
      </c>
      <c r="E6" s="81"/>
      <c r="F6" s="81"/>
      <c r="G6" s="82"/>
    </row>
    <row r="7" spans="1:11" ht="14.25" customHeight="1" x14ac:dyDescent="0.35">
      <c r="A7" s="70" t="s">
        <v>6</v>
      </c>
      <c r="B7" s="70"/>
      <c r="C7" s="3" t="s">
        <v>7</v>
      </c>
      <c r="D7" s="3" t="s">
        <v>8</v>
      </c>
      <c r="E7" s="3" t="s">
        <v>9</v>
      </c>
      <c r="F7" s="4" t="s">
        <v>10</v>
      </c>
      <c r="G7" s="4" t="s">
        <v>9</v>
      </c>
    </row>
    <row r="8" spans="1:11" ht="18" customHeight="1" x14ac:dyDescent="0.35">
      <c r="A8" s="47" t="s">
        <v>11</v>
      </c>
      <c r="B8" s="47"/>
      <c r="C8" s="48" t="s">
        <v>12</v>
      </c>
      <c r="D8" s="41" t="s">
        <v>13</v>
      </c>
      <c r="E8" s="5">
        <v>10</v>
      </c>
      <c r="F8" s="5">
        <v>10</v>
      </c>
      <c r="G8" s="5">
        <f>E8*F8/100</f>
        <v>1</v>
      </c>
    </row>
    <row r="9" spans="1:11" ht="18" customHeight="1" x14ac:dyDescent="0.35">
      <c r="A9" s="47"/>
      <c r="B9" s="47"/>
      <c r="C9" s="48"/>
      <c r="D9" s="41" t="s">
        <v>14</v>
      </c>
      <c r="E9" s="5">
        <v>8</v>
      </c>
      <c r="F9" s="5">
        <v>10</v>
      </c>
      <c r="G9" s="5">
        <f>E9*F9/100</f>
        <v>0.8</v>
      </c>
    </row>
    <row r="10" spans="1:11" ht="18" customHeight="1" x14ac:dyDescent="0.35">
      <c r="A10" s="47"/>
      <c r="B10" s="47"/>
      <c r="C10" s="48"/>
      <c r="D10" s="41" t="s">
        <v>15</v>
      </c>
      <c r="E10" s="5">
        <v>10</v>
      </c>
      <c r="F10" s="5">
        <v>10</v>
      </c>
      <c r="G10" s="5">
        <f t="shared" ref="G10:G17" si="0">E10*F10/100</f>
        <v>1</v>
      </c>
    </row>
    <row r="11" spans="1:11" ht="18" customHeight="1" x14ac:dyDescent="0.35">
      <c r="A11" s="47"/>
      <c r="B11" s="47"/>
      <c r="C11" s="48" t="s">
        <v>16</v>
      </c>
      <c r="D11" s="6" t="s">
        <v>17</v>
      </c>
      <c r="E11" s="42">
        <v>8</v>
      </c>
      <c r="F11" s="5">
        <v>10</v>
      </c>
      <c r="G11" s="5">
        <f t="shared" si="0"/>
        <v>0.8</v>
      </c>
    </row>
    <row r="12" spans="1:11" ht="18" customHeight="1" x14ac:dyDescent="0.35">
      <c r="A12" s="47"/>
      <c r="B12" s="47"/>
      <c r="C12" s="48"/>
      <c r="D12" s="6" t="s">
        <v>18</v>
      </c>
      <c r="E12" s="42">
        <v>9</v>
      </c>
      <c r="F12" s="5">
        <v>10</v>
      </c>
      <c r="G12" s="5">
        <f t="shared" si="0"/>
        <v>0.9</v>
      </c>
    </row>
    <row r="13" spans="1:11" ht="18" customHeight="1" x14ac:dyDescent="0.35">
      <c r="A13" s="47"/>
      <c r="B13" s="47"/>
      <c r="C13" s="48"/>
      <c r="D13" s="41" t="s">
        <v>19</v>
      </c>
      <c r="E13" s="5">
        <v>8.5</v>
      </c>
      <c r="F13" s="5">
        <v>10</v>
      </c>
      <c r="G13" s="5">
        <f t="shared" si="0"/>
        <v>0.85</v>
      </c>
    </row>
    <row r="14" spans="1:11" ht="18" customHeight="1" x14ac:dyDescent="0.35">
      <c r="A14" s="47"/>
      <c r="B14" s="47"/>
      <c r="C14" s="48"/>
      <c r="D14" s="41" t="s">
        <v>20</v>
      </c>
      <c r="E14" s="5">
        <v>8</v>
      </c>
      <c r="F14" s="5">
        <v>10</v>
      </c>
      <c r="G14" s="5">
        <f t="shared" si="0"/>
        <v>0.8</v>
      </c>
    </row>
    <row r="15" spans="1:11" ht="18" customHeight="1" x14ac:dyDescent="0.35">
      <c r="A15" s="47"/>
      <c r="B15" s="47"/>
      <c r="C15" s="48" t="s">
        <v>21</v>
      </c>
      <c r="D15" s="41" t="s">
        <v>22</v>
      </c>
      <c r="E15" s="5">
        <v>9</v>
      </c>
      <c r="F15" s="5">
        <v>15</v>
      </c>
      <c r="G15" s="5">
        <f t="shared" si="0"/>
        <v>1.35</v>
      </c>
    </row>
    <row r="16" spans="1:11" ht="18" customHeight="1" x14ac:dyDescent="0.35">
      <c r="A16" s="47"/>
      <c r="B16" s="47"/>
      <c r="C16" s="48"/>
      <c r="D16" s="41" t="s">
        <v>23</v>
      </c>
      <c r="E16" s="5">
        <v>8.5</v>
      </c>
      <c r="F16" s="5">
        <v>10</v>
      </c>
      <c r="G16" s="5">
        <f t="shared" si="0"/>
        <v>0.85</v>
      </c>
    </row>
    <row r="17" spans="1:8" ht="18" customHeight="1" x14ac:dyDescent="0.35">
      <c r="A17" s="47"/>
      <c r="B17" s="47"/>
      <c r="C17" s="48"/>
      <c r="D17" s="41" t="s">
        <v>24</v>
      </c>
      <c r="E17" s="5">
        <v>7.5</v>
      </c>
      <c r="F17" s="5">
        <v>5</v>
      </c>
      <c r="G17" s="5">
        <f t="shared" si="0"/>
        <v>0.375</v>
      </c>
    </row>
    <row r="18" spans="1:8" ht="18" customHeight="1" x14ac:dyDescent="0.35">
      <c r="A18" s="74" t="s">
        <v>25</v>
      </c>
      <c r="B18" s="74"/>
      <c r="C18" s="74"/>
      <c r="D18" s="74"/>
      <c r="E18" s="74"/>
      <c r="F18" s="74"/>
      <c r="G18" s="7">
        <f>SUM(G8:G17)</f>
        <v>8.7249999999999996</v>
      </c>
    </row>
    <row r="19" spans="1:8" ht="27" customHeight="1" x14ac:dyDescent="0.35">
      <c r="A19" s="75" t="s">
        <v>29</v>
      </c>
      <c r="B19" s="75"/>
      <c r="C19" s="75"/>
      <c r="D19" s="75"/>
      <c r="E19" s="72" t="str">
        <f>IF(G18&gt;9.5,"SANGAT BAIK",IF(G18&gt;7.5,"BAIK",IF(G18&gt;5.5,"CUKUP BAIK",IF(G18&gt;3.5,"BURUK","SANGAT BURUK"))))</f>
        <v>BAIK</v>
      </c>
      <c r="F19" s="73"/>
      <c r="G19" s="65"/>
    </row>
    <row r="20" spans="1:8" ht="15" x14ac:dyDescent="0.35">
      <c r="E20" s="10"/>
      <c r="F20" s="10"/>
    </row>
    <row r="21" spans="1:8" ht="23.25" customHeight="1" x14ac:dyDescent="0.35">
      <c r="A21" s="21" t="s">
        <v>40</v>
      </c>
      <c r="B21" s="58" t="s">
        <v>48</v>
      </c>
      <c r="C21" s="59"/>
      <c r="D21" s="28" t="s">
        <v>45</v>
      </c>
      <c r="E21" s="61" t="s">
        <v>46</v>
      </c>
      <c r="F21" s="62"/>
      <c r="G21" s="18" t="s">
        <v>52</v>
      </c>
      <c r="H21" s="31"/>
    </row>
    <row r="22" spans="1:8" ht="38.25" customHeight="1" x14ac:dyDescent="0.35">
      <c r="A22" s="22">
        <v>1</v>
      </c>
      <c r="B22" s="23" t="s">
        <v>11</v>
      </c>
      <c r="C22" s="20" t="s">
        <v>30</v>
      </c>
      <c r="D22" s="33"/>
      <c r="E22" s="66"/>
      <c r="F22" s="67"/>
      <c r="G22" s="34"/>
      <c r="H22" s="32"/>
    </row>
    <row r="24" spans="1:8" ht="18.75" customHeight="1" x14ac:dyDescent="0.35">
      <c r="B24" s="60" t="s">
        <v>31</v>
      </c>
      <c r="C24" s="60"/>
    </row>
    <row r="25" spans="1:8" ht="18.75" customHeight="1" x14ac:dyDescent="0.35">
      <c r="B25" s="14"/>
      <c r="C25" s="14"/>
    </row>
    <row r="26" spans="1:8" ht="18.75" customHeight="1" x14ac:dyDescent="0.35">
      <c r="B26" s="15" t="s">
        <v>32</v>
      </c>
      <c r="C26" s="15" t="s">
        <v>33</v>
      </c>
    </row>
    <row r="27" spans="1:8" ht="18.75" customHeight="1" x14ac:dyDescent="0.35">
      <c r="B27" s="5" t="s">
        <v>41</v>
      </c>
      <c r="C27" s="5" t="s">
        <v>34</v>
      </c>
    </row>
    <row r="28" spans="1:8" ht="18.75" customHeight="1" x14ac:dyDescent="0.35">
      <c r="B28" s="5" t="s">
        <v>42</v>
      </c>
      <c r="C28" s="5" t="s">
        <v>35</v>
      </c>
    </row>
    <row r="29" spans="1:8" ht="18.75" customHeight="1" x14ac:dyDescent="0.35">
      <c r="B29" s="5" t="s">
        <v>43</v>
      </c>
      <c r="C29" s="5" t="s">
        <v>36</v>
      </c>
    </row>
    <row r="30" spans="1:8" ht="18.75" customHeight="1" x14ac:dyDescent="0.35">
      <c r="B30" s="5" t="s">
        <v>44</v>
      </c>
      <c r="C30" s="5" t="s">
        <v>37</v>
      </c>
    </row>
    <row r="31" spans="1:8" ht="18.75" customHeight="1" x14ac:dyDescent="0.35">
      <c r="B31" s="5" t="s">
        <v>38</v>
      </c>
      <c r="C31" s="5" t="s">
        <v>39</v>
      </c>
    </row>
  </sheetData>
  <mergeCells count="22">
    <mergeCell ref="B24:C24"/>
    <mergeCell ref="E19:G19"/>
    <mergeCell ref="E21:F21"/>
    <mergeCell ref="E22:F22"/>
    <mergeCell ref="B21:C21"/>
    <mergeCell ref="A19:D19"/>
    <mergeCell ref="D5:G5"/>
    <mergeCell ref="D6:G6"/>
    <mergeCell ref="C8:C10"/>
    <mergeCell ref="C11:C14"/>
    <mergeCell ref="C15:C17"/>
    <mergeCell ref="A5:C5"/>
    <mergeCell ref="A6:C6"/>
    <mergeCell ref="A7:B7"/>
    <mergeCell ref="A8:B17"/>
    <mergeCell ref="A18:F18"/>
    <mergeCell ref="D3:G3"/>
    <mergeCell ref="D4:G4"/>
    <mergeCell ref="A2:G2"/>
    <mergeCell ref="A1:G1"/>
    <mergeCell ref="A3:C3"/>
    <mergeCell ref="A4:C4"/>
  </mergeCells>
  <pageMargins left="0.7" right="0.7" top="0.75" bottom="0.75" header="0.3" footer="0.3"/>
  <pageSetup paperSize="9" scale="7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0"/>
  <sheetViews>
    <sheetView zoomScaleNormal="100" workbookViewId="0">
      <selection sqref="A1:G30"/>
    </sheetView>
  </sheetViews>
  <sheetFormatPr defaultColWidth="9.1328125" defaultRowHeight="13.5" x14ac:dyDescent="0.35"/>
  <cols>
    <col min="1" max="1" width="4.86328125" style="2" customWidth="1"/>
    <col min="2" max="2" width="19.73046875" style="2" customWidth="1"/>
    <col min="3" max="3" width="25.86328125" style="2" customWidth="1"/>
    <col min="4" max="4" width="39.1328125" style="2" bestFit="1" customWidth="1"/>
    <col min="5" max="5" width="9.265625" style="12" customWidth="1"/>
    <col min="6" max="6" width="12.3984375" style="2" customWidth="1"/>
    <col min="7" max="7" width="13.265625" style="2" customWidth="1"/>
    <col min="8" max="16384" width="9.1328125" style="2"/>
  </cols>
  <sheetData>
    <row r="1" spans="1:11" ht="30.75" customHeight="1" x14ac:dyDescent="0.35">
      <c r="A1" s="43" t="s">
        <v>0</v>
      </c>
      <c r="B1" s="43"/>
      <c r="C1" s="43"/>
      <c r="D1" s="43"/>
      <c r="E1" s="43"/>
      <c r="F1" s="43"/>
      <c r="G1" s="43"/>
      <c r="H1" s="1"/>
      <c r="I1" s="1"/>
      <c r="J1" s="1"/>
      <c r="K1" s="1"/>
    </row>
    <row r="2" spans="1:11" ht="17.25" x14ac:dyDescent="0.35">
      <c r="A2" s="76" t="s">
        <v>53</v>
      </c>
      <c r="B2" s="77"/>
      <c r="C2" s="77"/>
      <c r="D2" s="77"/>
      <c r="E2" s="77"/>
      <c r="F2" s="77"/>
      <c r="G2" s="78"/>
    </row>
    <row r="3" spans="1:11" ht="14.25" customHeight="1" x14ac:dyDescent="0.35">
      <c r="A3" s="79" t="s">
        <v>47</v>
      </c>
      <c r="B3" s="80"/>
      <c r="C3" s="80"/>
      <c r="D3" s="81" t="s">
        <v>1</v>
      </c>
      <c r="E3" s="81"/>
      <c r="F3" s="81"/>
      <c r="G3" s="82"/>
    </row>
    <row r="4" spans="1:11" ht="14.25" customHeight="1" x14ac:dyDescent="0.35">
      <c r="A4" s="83" t="s">
        <v>2</v>
      </c>
      <c r="B4" s="69"/>
      <c r="C4" s="69"/>
      <c r="D4" s="81" t="s">
        <v>1</v>
      </c>
      <c r="E4" s="81"/>
      <c r="F4" s="81"/>
      <c r="G4" s="82"/>
    </row>
    <row r="5" spans="1:11" ht="14.25" customHeight="1" x14ac:dyDescent="0.35">
      <c r="A5" s="83" t="s">
        <v>3</v>
      </c>
      <c r="B5" s="69"/>
      <c r="C5" s="69"/>
      <c r="D5" s="81" t="s">
        <v>1</v>
      </c>
      <c r="E5" s="81"/>
      <c r="F5" s="81"/>
      <c r="G5" s="82"/>
    </row>
    <row r="6" spans="1:11" ht="14.25" customHeight="1" x14ac:dyDescent="0.35">
      <c r="A6" s="83" t="s">
        <v>4</v>
      </c>
      <c r="B6" s="69"/>
      <c r="C6" s="69"/>
      <c r="D6" s="81" t="s">
        <v>5</v>
      </c>
      <c r="E6" s="81"/>
      <c r="F6" s="81"/>
      <c r="G6" s="82"/>
    </row>
    <row r="7" spans="1:11" ht="14.25" customHeight="1" x14ac:dyDescent="0.35">
      <c r="A7" s="89" t="s">
        <v>6</v>
      </c>
      <c r="B7" s="90"/>
      <c r="C7" s="3" t="s">
        <v>7</v>
      </c>
      <c r="D7" s="3" t="s">
        <v>8</v>
      </c>
      <c r="E7" s="3" t="s">
        <v>9</v>
      </c>
      <c r="F7" s="4" t="s">
        <v>10</v>
      </c>
      <c r="G7" s="4" t="s">
        <v>9</v>
      </c>
    </row>
    <row r="8" spans="1:11" ht="18" customHeight="1" x14ac:dyDescent="0.35">
      <c r="A8" s="84" t="s">
        <v>26</v>
      </c>
      <c r="B8" s="85"/>
      <c r="C8" s="48" t="s">
        <v>16</v>
      </c>
      <c r="D8" s="6" t="s">
        <v>17</v>
      </c>
      <c r="E8" s="42">
        <v>7.5</v>
      </c>
      <c r="F8" s="5">
        <v>10</v>
      </c>
      <c r="G8" s="5">
        <f t="shared" ref="G8:G14" si="0">E8*F8/100</f>
        <v>0.75</v>
      </c>
    </row>
    <row r="9" spans="1:11" ht="18" customHeight="1" x14ac:dyDescent="0.35">
      <c r="A9" s="86"/>
      <c r="B9" s="71"/>
      <c r="C9" s="48"/>
      <c r="D9" s="6" t="s">
        <v>18</v>
      </c>
      <c r="E9" s="42">
        <v>7.8</v>
      </c>
      <c r="F9" s="5">
        <v>10</v>
      </c>
      <c r="G9" s="5">
        <f t="shared" si="0"/>
        <v>0.78</v>
      </c>
    </row>
    <row r="10" spans="1:11" ht="18" customHeight="1" x14ac:dyDescent="0.35">
      <c r="A10" s="86"/>
      <c r="B10" s="71"/>
      <c r="C10" s="48"/>
      <c r="D10" s="41" t="s">
        <v>19</v>
      </c>
      <c r="E10" s="5">
        <v>8</v>
      </c>
      <c r="F10" s="5">
        <v>10</v>
      </c>
      <c r="G10" s="5">
        <f t="shared" si="0"/>
        <v>0.8</v>
      </c>
    </row>
    <row r="11" spans="1:11" ht="18" customHeight="1" x14ac:dyDescent="0.35">
      <c r="A11" s="86"/>
      <c r="B11" s="71"/>
      <c r="C11" s="48"/>
      <c r="D11" s="41" t="s">
        <v>20</v>
      </c>
      <c r="E11" s="5">
        <v>7</v>
      </c>
      <c r="F11" s="5">
        <v>20</v>
      </c>
      <c r="G11" s="5">
        <f t="shared" si="0"/>
        <v>1.4</v>
      </c>
    </row>
    <row r="12" spans="1:11" ht="18" customHeight="1" x14ac:dyDescent="0.35">
      <c r="A12" s="86"/>
      <c r="B12" s="71"/>
      <c r="C12" s="48" t="s">
        <v>21</v>
      </c>
      <c r="D12" s="41" t="s">
        <v>22</v>
      </c>
      <c r="E12" s="5">
        <v>8</v>
      </c>
      <c r="F12" s="5">
        <v>20</v>
      </c>
      <c r="G12" s="5">
        <f t="shared" si="0"/>
        <v>1.6</v>
      </c>
    </row>
    <row r="13" spans="1:11" ht="18" customHeight="1" x14ac:dyDescent="0.35">
      <c r="A13" s="86"/>
      <c r="B13" s="71"/>
      <c r="C13" s="48"/>
      <c r="D13" s="41" t="s">
        <v>23</v>
      </c>
      <c r="E13" s="5">
        <v>8</v>
      </c>
      <c r="F13" s="5">
        <v>15</v>
      </c>
      <c r="G13" s="5">
        <f t="shared" si="0"/>
        <v>1.2</v>
      </c>
    </row>
    <row r="14" spans="1:11" ht="18" customHeight="1" x14ac:dyDescent="0.35">
      <c r="A14" s="87"/>
      <c r="B14" s="88"/>
      <c r="C14" s="48"/>
      <c r="D14" s="41" t="s">
        <v>24</v>
      </c>
      <c r="E14" s="5">
        <v>8</v>
      </c>
      <c r="F14" s="5">
        <v>15</v>
      </c>
      <c r="G14" s="5">
        <f t="shared" si="0"/>
        <v>1.2</v>
      </c>
    </row>
    <row r="15" spans="1:11" ht="18" customHeight="1" x14ac:dyDescent="0.35">
      <c r="A15" s="91" t="s">
        <v>25</v>
      </c>
      <c r="B15" s="92"/>
      <c r="C15" s="92"/>
      <c r="D15" s="92"/>
      <c r="E15" s="92"/>
      <c r="F15" s="93"/>
      <c r="G15" s="7">
        <f>SUM(G8:G14)</f>
        <v>7.73</v>
      </c>
    </row>
    <row r="16" spans="1:11" ht="27" customHeight="1" x14ac:dyDescent="0.35">
      <c r="A16" s="94" t="s">
        <v>29</v>
      </c>
      <c r="B16" s="95"/>
      <c r="C16" s="95"/>
      <c r="D16" s="96"/>
      <c r="E16" s="72" t="str">
        <f>IF(G15&gt;9.5,"SANGAT BAIK",IF(G15&gt;7.5,"BAIK",IF(G15&gt;5.5,"CUKUP BAIK",IF(G15&gt;3.5,"BURUK","SANGAT BURUK"))))</f>
        <v>BAIK</v>
      </c>
      <c r="F16" s="73"/>
      <c r="G16" s="65"/>
    </row>
    <row r="17" spans="1:7" ht="15" x14ac:dyDescent="0.35">
      <c r="E17" s="10"/>
      <c r="F17" s="10"/>
    </row>
    <row r="18" spans="1:7" ht="39.75" customHeight="1" x14ac:dyDescent="0.35">
      <c r="A18" s="21" t="s">
        <v>40</v>
      </c>
      <c r="B18" s="58" t="s">
        <v>48</v>
      </c>
      <c r="C18" s="59"/>
      <c r="D18" s="28" t="s">
        <v>45</v>
      </c>
      <c r="E18" s="61" t="s">
        <v>46</v>
      </c>
      <c r="F18" s="62"/>
      <c r="G18" s="18" t="s">
        <v>52</v>
      </c>
    </row>
    <row r="19" spans="1:7" ht="39" customHeight="1" x14ac:dyDescent="0.35">
      <c r="A19" s="22">
        <v>1</v>
      </c>
      <c r="B19" s="23" t="s">
        <v>26</v>
      </c>
      <c r="C19" s="20" t="s">
        <v>30</v>
      </c>
      <c r="D19" s="33"/>
      <c r="E19" s="66"/>
      <c r="F19" s="67"/>
      <c r="G19" s="34"/>
    </row>
    <row r="20" spans="1:7" x14ac:dyDescent="0.35">
      <c r="A20" s="13"/>
      <c r="B20" s="11"/>
      <c r="C20" s="68"/>
      <c r="D20" s="68"/>
    </row>
    <row r="21" spans="1:7" x14ac:dyDescent="0.35">
      <c r="A21" s="13"/>
      <c r="B21" s="11"/>
      <c r="C21" s="68"/>
      <c r="D21" s="68"/>
    </row>
    <row r="23" spans="1:7" ht="18" customHeight="1" x14ac:dyDescent="0.35">
      <c r="B23" s="60" t="s">
        <v>31</v>
      </c>
      <c r="C23" s="60"/>
    </row>
    <row r="24" spans="1:7" ht="18" customHeight="1" x14ac:dyDescent="0.35">
      <c r="B24" s="14"/>
      <c r="C24" s="14"/>
    </row>
    <row r="25" spans="1:7" ht="18" customHeight="1" x14ac:dyDescent="0.35">
      <c r="B25" s="15" t="s">
        <v>32</v>
      </c>
      <c r="C25" s="15" t="s">
        <v>33</v>
      </c>
    </row>
    <row r="26" spans="1:7" ht="18" customHeight="1" x14ac:dyDescent="0.35">
      <c r="B26" s="5" t="s">
        <v>41</v>
      </c>
      <c r="C26" s="5" t="s">
        <v>34</v>
      </c>
    </row>
    <row r="27" spans="1:7" ht="18" customHeight="1" x14ac:dyDescent="0.35">
      <c r="B27" s="5" t="s">
        <v>42</v>
      </c>
      <c r="C27" s="5" t="s">
        <v>35</v>
      </c>
    </row>
    <row r="28" spans="1:7" ht="18" customHeight="1" x14ac:dyDescent="0.35">
      <c r="B28" s="5" t="s">
        <v>43</v>
      </c>
      <c r="C28" s="5" t="s">
        <v>36</v>
      </c>
    </row>
    <row r="29" spans="1:7" ht="18" customHeight="1" x14ac:dyDescent="0.35">
      <c r="B29" s="5" t="s">
        <v>44</v>
      </c>
      <c r="C29" s="5" t="s">
        <v>37</v>
      </c>
    </row>
    <row r="30" spans="1:7" ht="18" customHeight="1" x14ac:dyDescent="0.35">
      <c r="B30" s="5" t="s">
        <v>38</v>
      </c>
      <c r="C30" s="5" t="s">
        <v>39</v>
      </c>
    </row>
  </sheetData>
  <mergeCells count="23">
    <mergeCell ref="A7:B7"/>
    <mergeCell ref="A8:B14"/>
    <mergeCell ref="A15:F15"/>
    <mergeCell ref="A16:D16"/>
    <mergeCell ref="A1:G1"/>
    <mergeCell ref="A2:G2"/>
    <mergeCell ref="A3:C3"/>
    <mergeCell ref="A4:C4"/>
    <mergeCell ref="A5:C5"/>
    <mergeCell ref="C20:D20"/>
    <mergeCell ref="C21:D21"/>
    <mergeCell ref="B23:C23"/>
    <mergeCell ref="E18:F18"/>
    <mergeCell ref="E19:F19"/>
    <mergeCell ref="E16:G16"/>
    <mergeCell ref="B18:C18"/>
    <mergeCell ref="C8:C11"/>
    <mergeCell ref="C12:C14"/>
    <mergeCell ref="D5:G5"/>
    <mergeCell ref="D6:G6"/>
    <mergeCell ref="D3:G3"/>
    <mergeCell ref="D4:G4"/>
    <mergeCell ref="A6:C6"/>
  </mergeCells>
  <pageMargins left="0.7" right="0.7" top="0.75" bottom="0.75" header="0.3" footer="0.3"/>
  <pageSetup paperSize="9" scale="7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6"/>
  <sheetViews>
    <sheetView zoomScaleNormal="100" workbookViewId="0">
      <selection sqref="A1:G1"/>
    </sheetView>
  </sheetViews>
  <sheetFormatPr defaultColWidth="9.1328125" defaultRowHeight="13.5" x14ac:dyDescent="0.35"/>
  <cols>
    <col min="1" max="1" width="4.86328125" style="2" customWidth="1"/>
    <col min="2" max="2" width="19.73046875" style="2" customWidth="1"/>
    <col min="3" max="3" width="25.86328125" style="2" customWidth="1"/>
    <col min="4" max="4" width="39.1328125" style="2" bestFit="1" customWidth="1"/>
    <col min="5" max="5" width="9.265625" style="12" customWidth="1"/>
    <col min="6" max="6" width="12.3984375" style="2" customWidth="1"/>
    <col min="7" max="7" width="13.265625" style="2" customWidth="1"/>
    <col min="8" max="16384" width="9.1328125" style="2"/>
  </cols>
  <sheetData>
    <row r="1" spans="1:11" ht="30.75" customHeight="1" x14ac:dyDescent="0.35">
      <c r="A1" s="100" t="s">
        <v>0</v>
      </c>
      <c r="B1" s="101"/>
      <c r="C1" s="101"/>
      <c r="D1" s="101"/>
      <c r="E1" s="101"/>
      <c r="F1" s="101"/>
      <c r="G1" s="102"/>
      <c r="H1" s="1"/>
      <c r="I1" s="1"/>
      <c r="J1" s="1"/>
      <c r="K1" s="1"/>
    </row>
    <row r="2" spans="1:11" ht="17.25" x14ac:dyDescent="0.35">
      <c r="A2" s="76" t="s">
        <v>53</v>
      </c>
      <c r="B2" s="77"/>
      <c r="C2" s="77"/>
      <c r="D2" s="77"/>
      <c r="E2" s="77"/>
      <c r="F2" s="77"/>
      <c r="G2" s="78"/>
    </row>
    <row r="3" spans="1:11" ht="14.25" customHeight="1" x14ac:dyDescent="0.35">
      <c r="A3" s="79" t="s">
        <v>47</v>
      </c>
      <c r="B3" s="80"/>
      <c r="C3" s="80"/>
      <c r="D3" s="81" t="s">
        <v>1</v>
      </c>
      <c r="E3" s="81"/>
      <c r="F3" s="81"/>
      <c r="G3" s="82"/>
    </row>
    <row r="4" spans="1:11" ht="14.25" customHeight="1" x14ac:dyDescent="0.35">
      <c r="A4" s="83" t="s">
        <v>2</v>
      </c>
      <c r="B4" s="69"/>
      <c r="C4" s="69"/>
      <c r="D4" s="81" t="s">
        <v>1</v>
      </c>
      <c r="E4" s="81"/>
      <c r="F4" s="81"/>
      <c r="G4" s="82"/>
    </row>
    <row r="5" spans="1:11" ht="14.25" customHeight="1" x14ac:dyDescent="0.35">
      <c r="A5" s="83" t="s">
        <v>3</v>
      </c>
      <c r="B5" s="69"/>
      <c r="C5" s="69"/>
      <c r="D5" s="81" t="s">
        <v>1</v>
      </c>
      <c r="E5" s="81"/>
      <c r="F5" s="81"/>
      <c r="G5" s="82"/>
    </row>
    <row r="6" spans="1:11" ht="14.25" customHeight="1" x14ac:dyDescent="0.35">
      <c r="A6" s="83" t="s">
        <v>4</v>
      </c>
      <c r="B6" s="69"/>
      <c r="C6" s="69"/>
      <c r="D6" s="81" t="s">
        <v>5</v>
      </c>
      <c r="E6" s="81"/>
      <c r="F6" s="81"/>
      <c r="G6" s="82"/>
    </row>
    <row r="7" spans="1:11" ht="14.25" customHeight="1" x14ac:dyDescent="0.35">
      <c r="A7" s="89" t="s">
        <v>6</v>
      </c>
      <c r="B7" s="90"/>
      <c r="C7" s="3" t="s">
        <v>7</v>
      </c>
      <c r="D7" s="3" t="s">
        <v>8</v>
      </c>
      <c r="E7" s="3" t="s">
        <v>9</v>
      </c>
      <c r="F7" s="4" t="s">
        <v>10</v>
      </c>
      <c r="G7" s="4" t="s">
        <v>9</v>
      </c>
    </row>
    <row r="8" spans="1:11" ht="22.5" customHeight="1" x14ac:dyDescent="0.35">
      <c r="A8" s="84" t="s">
        <v>27</v>
      </c>
      <c r="B8" s="85"/>
      <c r="C8" s="48" t="s">
        <v>21</v>
      </c>
      <c r="D8" s="41" t="s">
        <v>22</v>
      </c>
      <c r="E8" s="5">
        <v>8</v>
      </c>
      <c r="F8" s="5">
        <v>40</v>
      </c>
      <c r="G8" s="5">
        <f t="shared" ref="G8:G10" si="0">E8*F8/100</f>
        <v>3.2</v>
      </c>
    </row>
    <row r="9" spans="1:11" ht="22.5" customHeight="1" x14ac:dyDescent="0.35">
      <c r="A9" s="86"/>
      <c r="B9" s="71"/>
      <c r="C9" s="48"/>
      <c r="D9" s="41" t="s">
        <v>23</v>
      </c>
      <c r="E9" s="5">
        <v>8</v>
      </c>
      <c r="F9" s="5">
        <v>30</v>
      </c>
      <c r="G9" s="5">
        <f t="shared" si="0"/>
        <v>2.4</v>
      </c>
    </row>
    <row r="10" spans="1:11" ht="22.5" customHeight="1" x14ac:dyDescent="0.35">
      <c r="A10" s="87"/>
      <c r="B10" s="88"/>
      <c r="C10" s="48"/>
      <c r="D10" s="41" t="s">
        <v>24</v>
      </c>
      <c r="E10" s="5">
        <v>8</v>
      </c>
      <c r="F10" s="5">
        <v>30</v>
      </c>
      <c r="G10" s="5">
        <f t="shared" si="0"/>
        <v>2.4</v>
      </c>
    </row>
    <row r="11" spans="1:11" ht="18" customHeight="1" x14ac:dyDescent="0.35">
      <c r="A11" s="99" t="s">
        <v>25</v>
      </c>
      <c r="B11" s="97"/>
      <c r="C11" s="97"/>
      <c r="D11" s="97"/>
      <c r="E11" s="97"/>
      <c r="F11" s="98"/>
      <c r="G11" s="7">
        <f>SUM(G8:G10)</f>
        <v>8</v>
      </c>
    </row>
    <row r="12" spans="1:11" ht="27" customHeight="1" x14ac:dyDescent="0.35">
      <c r="A12" s="94" t="s">
        <v>29</v>
      </c>
      <c r="B12" s="95"/>
      <c r="C12" s="95"/>
      <c r="D12" s="96"/>
      <c r="E12" s="63" t="str">
        <f>IF(G11&gt;9.5,"SANGAT BAIK",IF(G11&gt;7.5,"BAIK",IF(G11&gt;5.5,"CUKUP BAIK",IF(G11&gt;3.5,"BURUK","SANGAT BURUK"))))</f>
        <v>BAIK</v>
      </c>
      <c r="F12" s="64"/>
      <c r="G12" s="65"/>
    </row>
    <row r="13" spans="1:11" ht="15" x14ac:dyDescent="0.35">
      <c r="E13" s="10"/>
      <c r="F13" s="10"/>
    </row>
    <row r="14" spans="1:11" ht="39.75" customHeight="1" x14ac:dyDescent="0.35">
      <c r="A14" s="21" t="s">
        <v>40</v>
      </c>
      <c r="B14" s="58" t="s">
        <v>48</v>
      </c>
      <c r="C14" s="59"/>
      <c r="D14" s="28" t="s">
        <v>45</v>
      </c>
      <c r="E14" s="61" t="s">
        <v>46</v>
      </c>
      <c r="F14" s="62"/>
      <c r="G14" s="18" t="s">
        <v>52</v>
      </c>
    </row>
    <row r="15" spans="1:11" ht="39" customHeight="1" x14ac:dyDescent="0.35">
      <c r="A15" s="22">
        <v>1</v>
      </c>
      <c r="B15" s="23" t="s">
        <v>27</v>
      </c>
      <c r="C15" s="20" t="s">
        <v>30</v>
      </c>
      <c r="D15" s="33"/>
      <c r="E15" s="66"/>
      <c r="F15" s="67"/>
      <c r="G15" s="34"/>
    </row>
    <row r="16" spans="1:11" x14ac:dyDescent="0.35">
      <c r="A16" s="13"/>
      <c r="B16" s="11"/>
      <c r="C16" s="68"/>
      <c r="D16" s="68"/>
    </row>
    <row r="17" spans="1:4" x14ac:dyDescent="0.35">
      <c r="A17" s="13"/>
      <c r="B17" s="11"/>
      <c r="C17" s="68"/>
      <c r="D17" s="68"/>
    </row>
    <row r="19" spans="1:4" x14ac:dyDescent="0.35">
      <c r="B19" s="60" t="s">
        <v>31</v>
      </c>
      <c r="C19" s="60"/>
    </row>
    <row r="20" spans="1:4" x14ac:dyDescent="0.35">
      <c r="B20" s="14"/>
      <c r="C20" s="14"/>
    </row>
    <row r="21" spans="1:4" ht="18.75" customHeight="1" x14ac:dyDescent="0.35">
      <c r="B21" s="15" t="s">
        <v>32</v>
      </c>
      <c r="C21" s="15" t="s">
        <v>33</v>
      </c>
    </row>
    <row r="22" spans="1:4" ht="18.75" customHeight="1" x14ac:dyDescent="0.35">
      <c r="B22" s="5" t="s">
        <v>41</v>
      </c>
      <c r="C22" s="5" t="s">
        <v>34</v>
      </c>
    </row>
    <row r="23" spans="1:4" ht="18.75" customHeight="1" x14ac:dyDescent="0.35">
      <c r="B23" s="5" t="s">
        <v>42</v>
      </c>
      <c r="C23" s="5" t="s">
        <v>35</v>
      </c>
    </row>
    <row r="24" spans="1:4" ht="18.75" customHeight="1" x14ac:dyDescent="0.35">
      <c r="B24" s="5" t="s">
        <v>43</v>
      </c>
      <c r="C24" s="5" t="s">
        <v>36</v>
      </c>
    </row>
    <row r="25" spans="1:4" ht="18.75" customHeight="1" x14ac:dyDescent="0.35">
      <c r="B25" s="5" t="s">
        <v>44</v>
      </c>
      <c r="C25" s="5" t="s">
        <v>37</v>
      </c>
    </row>
    <row r="26" spans="1:4" ht="18.75" customHeight="1" x14ac:dyDescent="0.35">
      <c r="B26" s="5" t="s">
        <v>38</v>
      </c>
      <c r="C26" s="5" t="s">
        <v>39</v>
      </c>
    </row>
  </sheetData>
  <mergeCells count="22">
    <mergeCell ref="A11:F11"/>
    <mergeCell ref="A12:D12"/>
    <mergeCell ref="C16:D16"/>
    <mergeCell ref="C17:D17"/>
    <mergeCell ref="B19:C19"/>
    <mergeCell ref="B14:C14"/>
    <mergeCell ref="E12:G12"/>
    <mergeCell ref="E14:F14"/>
    <mergeCell ref="E15:F15"/>
    <mergeCell ref="C8:C10"/>
    <mergeCell ref="D5:G5"/>
    <mergeCell ref="D6:G6"/>
    <mergeCell ref="A5:C5"/>
    <mergeCell ref="A6:C6"/>
    <mergeCell ref="A7:B7"/>
    <mergeCell ref="A8:B10"/>
    <mergeCell ref="D3:G3"/>
    <mergeCell ref="D4:G4"/>
    <mergeCell ref="A1:G1"/>
    <mergeCell ref="A2:G2"/>
    <mergeCell ref="A3:C3"/>
    <mergeCell ref="A4:C4"/>
  </mergeCells>
  <pageMargins left="0.7" right="0.7" top="0.75" bottom="0.75" header="0.3" footer="0.3"/>
  <pageSetup paperSize="9" scale="7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Rekap KPI 360 </vt:lpstr>
      <vt:lpstr>KPI 360 Atasan</vt:lpstr>
      <vt:lpstr>KPI 360 Rekan</vt:lpstr>
      <vt:lpstr>KPI 360 Bawahan</vt:lpstr>
      <vt:lpstr>'KPI 360 Atasan'!Print_Area</vt:lpstr>
      <vt:lpstr>'KPI 360 Bawahan'!Print_Area</vt:lpstr>
      <vt:lpstr>'KPI 360 Rekan'!Print_Area</vt:lpstr>
      <vt:lpstr>'Rekap KPI 360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sdi</dc:creator>
  <cp:lastModifiedBy>ASUS</cp:lastModifiedBy>
  <cp:lastPrinted>2024-12-31T08:12:59Z</cp:lastPrinted>
  <dcterms:created xsi:type="dcterms:W3CDTF">2024-12-31T04:53:06Z</dcterms:created>
  <dcterms:modified xsi:type="dcterms:W3CDTF">2024-12-31T08:13:12Z</dcterms:modified>
</cp:coreProperties>
</file>